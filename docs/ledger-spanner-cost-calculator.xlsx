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Scenarios" sheetId="2" state="visible" r:id="rId4"/>
    <sheet name="Rates &amp;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<sst xmlns="http://schemas.openxmlformats.org/spreadsheetml/2006/main" count="157" uniqueCount="96">
  <si>
    <t xml:space="preserve">Ledger - Cloud Spanner Cost Calculator</t>
  </si>
  <si>
    <t xml:space="preserve">Estimate monthly Spanner cost for the etcd-API shim. Blue cells = inputs. Rates are editable on 'Rates &amp; Notes'.</t>
  </si>
  <si>
    <t xml:space="preserve">Your scenario</t>
  </si>
  <si>
    <t xml:space="preserve">WORKLOAD INPUTS</t>
  </si>
  <si>
    <t xml:space="preserve">Live object count</t>
  </si>
  <si>
    <t xml:space="preserve">objects</t>
  </si>
  <si>
    <t xml:space="preserve">Avg object size (KB)</t>
  </si>
  <si>
    <t xml:space="preserve">incl. labels/annotations/managedFields</t>
  </si>
  <si>
    <t xml:space="preserve">Sustained write QPS</t>
  </si>
  <si>
    <t xml:space="preserve">creates+updates+deletes, steady</t>
  </si>
  <si>
    <t xml:space="preserve">Peak write QPS</t>
  </si>
  <si>
    <t xml:space="preserve">sizing headroom</t>
  </si>
  <si>
    <t xml:space="preserve">Read QPS hitting Spanner</t>
  </si>
  <si>
    <t xml:space="preserve">after apiserver cache offload</t>
  </si>
  <si>
    <t xml:space="preserve">Compaction interval (min)</t>
  </si>
  <si>
    <t xml:space="preserve">MVCC retention window</t>
  </si>
  <si>
    <t xml:space="preserve">Number of shards (databases)</t>
  </si>
  <si>
    <t xml:space="preserve">per-resource sharding via etcd-servers-overrides</t>
  </si>
  <si>
    <t xml:space="preserve">Config</t>
  </si>
  <si>
    <t xml:space="preserve">Regional</t>
  </si>
  <si>
    <t xml:space="preserve">dropdown</t>
  </si>
  <si>
    <t xml:space="preserve">Edition</t>
  </si>
  <si>
    <t xml:space="preserve">Standard</t>
  </si>
  <si>
    <t xml:space="preserve">Committed use</t>
  </si>
  <si>
    <t xml:space="preserve">None</t>
  </si>
  <si>
    <t xml:space="preserve">Backups retained (copies)</t>
  </si>
  <si>
    <t xml:space="preserve">Change streams enabled</t>
  </si>
  <si>
    <t xml:space="preserve">No</t>
  </si>
  <si>
    <t xml:space="preserve">for the change-streams watch path</t>
  </si>
  <si>
    <t xml:space="preserve">DERIVED CAPACITY &amp; STORAGE</t>
  </si>
  <si>
    <t xml:space="preserve">Replicas (per config)</t>
  </si>
  <si>
    <t xml:space="preserve">Edition rate ($/100PU/hr/replica)</t>
  </si>
  <si>
    <t xml:space="preserve">Committed-use discount</t>
  </si>
  <si>
    <t xml:space="preserve">Storage rate ($/GiB-mo)</t>
  </si>
  <si>
    <t xml:space="preserve">Backup rate ($/GiB-mo)</t>
  </si>
  <si>
    <t xml:space="preserve">Live storage (GiB)</t>
  </si>
  <si>
    <t xml:space="preserve">MVCC version overhead (GiB)</t>
  </si>
  <si>
    <t xml:space="preserve">Index storage (GiB)</t>
  </si>
  <si>
    <t xml:space="preserve">Change-stream storage (GiB)</t>
  </si>
  <si>
    <t xml:space="preserve">Total storage (GiB)</t>
  </si>
  <si>
    <t xml:space="preserve">PUs needed - from QPS</t>
  </si>
  <si>
    <t xml:space="preserve">PUs needed - shard floor</t>
  </si>
  <si>
    <t xml:space="preserve">PUs needed - storage ratio</t>
  </si>
  <si>
    <t xml:space="preserve">Provisioned PUs</t>
  </si>
  <si>
    <t xml:space="preserve">ESTIMATED MONTHLY COST</t>
  </si>
  <si>
    <t xml:space="preserve">Compute ($/mo)</t>
  </si>
  <si>
    <t xml:space="preserve">Storage ($/mo)</t>
  </si>
  <si>
    <t xml:space="preserve">Network/replication ($/mo)</t>
  </si>
  <si>
    <t xml:space="preserve">Backup ($/mo)</t>
  </si>
  <si>
    <t xml:space="preserve">TOTAL ($/mo)</t>
  </si>
  <si>
    <t xml:space="preserve">&lt;- headline number</t>
  </si>
  <si>
    <t xml:space="preserve">TOTAL ($/yr)</t>
  </si>
  <si>
    <t xml:space="preserve">Cost per 1M live objects ($/mo)</t>
  </si>
  <si>
    <t xml:space="preserve">intuition metric</t>
  </si>
  <si>
    <t xml:space="preserve">Dev / Regional</t>
  </si>
  <si>
    <t xml:space="preserve">Prod / Regional</t>
  </si>
  <si>
    <t xml:space="preserve">Prod / Multi-region</t>
  </si>
  <si>
    <t xml:space="preserve">Agentic / Scale</t>
  </si>
  <si>
    <t xml:space="preserve">Multi-region</t>
  </si>
  <si>
    <t xml:space="preserve">Enterprise</t>
  </si>
  <si>
    <t xml:space="preserve">Enterprise Plus</t>
  </si>
  <si>
    <t xml:space="preserve">1-year</t>
  </si>
  <si>
    <t xml:space="preserve">3-year</t>
  </si>
  <si>
    <t xml:space="preserve">Yes</t>
  </si>
  <si>
    <t xml:space="preserve">Rates &amp; Assumptions</t>
  </si>
  <si>
    <t xml:space="preserve">Edit to match the official Spanner pricing page for your region/date. Yellow = verify/benchmark.</t>
  </si>
  <si>
    <t xml:space="preserve">Hours per month</t>
  </si>
  <si>
    <t xml:space="preserve">Min processing units per instance</t>
  </si>
  <si>
    <t xml:space="preserve">Sustained writes/sec per 1000 PU (BENCHMARK)</t>
  </si>
  <si>
    <t xml:space="preserve">Reads/sec per 1000 PU (BENCHMARK)</t>
  </si>
  <si>
    <t xml:space="preserve">Storage per node (TB) [1 node = 1000 PU]</t>
  </si>
  <si>
    <t xml:space="preserve">Index storage factor (of value storage)</t>
  </si>
  <si>
    <t xml:space="preserve">Change-stream retention (hours)</t>
  </si>
  <si>
    <t xml:space="preserve">Cross-region network rate ($/GiB)</t>
  </si>
  <si>
    <t xml:space="preserve">Config table</t>
  </si>
  <si>
    <t xml:space="preserve">Replicas</t>
  </si>
  <si>
    <t xml:space="preserve">Storage $/GiB-mo</t>
  </si>
  <si>
    <t xml:space="preserve">Backup $/GiB-mo</t>
  </si>
  <si>
    <t xml:space="preserve">Dual-region</t>
  </si>
  <si>
    <t xml:space="preserve">Edition table</t>
  </si>
  <si>
    <t xml:space="preserve">$/100PU/hr/replica</t>
  </si>
  <si>
    <t xml:space="preserve">Term</t>
  </si>
  <si>
    <t xml:space="preserve">Discount</t>
  </si>
  <si>
    <t xml:space="preserve">METHODOLOGY</t>
  </si>
  <si>
    <t xml:space="preserve">- Compute = ProvisionedPU/100 x EditionRate x Replicas x Hours x (1 - CUD). Spanner bills compute per replica;</t>
  </si>
  <si>
    <t xml:space="preserve">  Regional ~3 replicas, Multi-region ~5. Provisioned PU = max(QPS need, shard floor, storage ratio), rounded to 100.</t>
  </si>
  <si>
    <t xml:space="preserve">- Storage = (live + MVCC overhead + index + change-stream) GiB x storage rate. MVCC overhead = the dead versions</t>
  </si>
  <si>
    <t xml:space="preserve">  that accumulate between compactions = write QPS x compaction window x object size (our append-only design).</t>
  </si>
  <si>
    <t xml:space="preserve">- Object size is where labels/annotations/managedFields land: we store the full serialized object as the value.</t>
  </si>
  <si>
    <t xml:space="preserve">- Network applies only to multi/dual-region (cross-region write replication).</t>
  </si>
  <si>
    <t xml:space="preserve">CAVEATS</t>
  </si>
  <si>
    <t xml:space="preserve">- Rates are approximate placeholders - VERIFY on https://cloud.google.com/spanner/pricing for your region/date.</t>
  </si>
  <si>
    <t xml:space="preserve">- writes/sec and reads/sec per 1000 PU are the biggest unknowns: BENCHMARK them with test/integration/cmd/loadgen</t>
  </si>
  <si>
    <t xml:space="preserve">  pointed at a real Spanner-backed shim, then replace B6/B7.</t>
  </si>
  <si>
    <t xml:space="preserve">- Multi-region resilience (survive a zone/region loss) requires Enterprise Plus + more replicas - reflected here.</t>
  </si>
  <si>
    <t xml:space="preserve">- This is a planning estimate, not a quote. Validate with the official pricing calculator.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</si>
</sst>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"/>
    <numFmt numFmtId="167" formatCode="\$0.000"/>
    <numFmt numFmtId="168" formatCode="0%"/>
    <numFmt numFmtId="169" formatCode="\$0.0000"/>
    <numFmt numFmtId="170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rgb="FF40404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B3" s="3" t="s">
        <v>2</v>
      </c>
    </row>
    <row r="4" customFormat="false" ht="15" hidden="false" customHeight="false" outlineLevel="0" collapsed="false">
      <c r="A4" s="4" t="s">
        <v>3</v>
      </c>
      <c r="B4" s="5"/>
      <c r="C4" s="5"/>
    </row>
    <row r="5" customFormat="false" ht="15" hidden="false" customHeight="false" outlineLevel="0" collapsed="false">
      <c r="A5" s="6" t="s">
        <v>4</v>
      </c>
      <c r="B5" s="7" t="n">
        <v>2000000</v>
      </c>
      <c r="C5" s="8" t="s">
        <v>5</v>
      </c>
    </row>
    <row r="6" customFormat="false" ht="15" hidden="false" customHeight="false" outlineLevel="0" collapsed="false">
      <c r="A6" s="6" t="s">
        <v>6</v>
      </c>
      <c r="B6" s="9" t="n">
        <v>4</v>
      </c>
      <c r="C6" s="8" t="s">
        <v>7</v>
      </c>
    </row>
    <row r="7" customFormat="false" ht="15" hidden="false" customHeight="false" outlineLevel="0" collapsed="false">
      <c r="A7" s="6" t="s">
        <v>8</v>
      </c>
      <c r="B7" s="7" t="n">
        <v>2000</v>
      </c>
      <c r="C7" s="8" t="s">
        <v>9</v>
      </c>
    </row>
    <row r="8" customFormat="false" ht="15" hidden="false" customHeight="false" outlineLevel="0" collapsed="false">
      <c r="A8" s="6" t="s">
        <v>10</v>
      </c>
      <c r="B8" s="7" t="n">
        <v>8000</v>
      </c>
      <c r="C8" s="8" t="s">
        <v>11</v>
      </c>
    </row>
    <row r="9" customFormat="false" ht="15" hidden="false" customHeight="false" outlineLevel="0" collapsed="false">
      <c r="A9" s="6" t="s">
        <v>12</v>
      </c>
      <c r="B9" s="7" t="n">
        <v>500</v>
      </c>
      <c r="C9" s="8" t="s">
        <v>13</v>
      </c>
    </row>
    <row r="10" customFormat="false" ht="15" hidden="false" customHeight="false" outlineLevel="0" collapsed="false">
      <c r="A10" s="6" t="s">
        <v>14</v>
      </c>
      <c r="B10" s="7" t="n">
        <v>5</v>
      </c>
      <c r="C10" s="8" t="s">
        <v>15</v>
      </c>
    </row>
    <row r="11" customFormat="false" ht="15" hidden="false" customHeight="false" outlineLevel="0" collapsed="false">
      <c r="A11" s="6" t="s">
        <v>16</v>
      </c>
      <c r="B11" s="7" t="n">
        <v>1</v>
      </c>
      <c r="C11" s="8" t="s">
        <v>17</v>
      </c>
    </row>
    <row r="12" customFormat="false" ht="15" hidden="false" customHeight="false" outlineLevel="0" collapsed="false">
      <c r="A12" s="6" t="s">
        <v>18</v>
      </c>
      <c r="B12" s="10" t="s">
        <v>19</v>
      </c>
      <c r="C12" s="8" t="s">
        <v>20</v>
      </c>
    </row>
    <row r="13" customFormat="false" ht="15" hidden="false" customHeight="false" outlineLevel="0" collapsed="false">
      <c r="A13" s="6" t="s">
        <v>21</v>
      </c>
      <c r="B13" s="10" t="s">
        <v>22</v>
      </c>
      <c r="C13" s="8" t="s">
        <v>20</v>
      </c>
    </row>
    <row r="14" customFormat="false" ht="15" hidden="false" customHeight="false" outlineLevel="0" collapsed="false">
      <c r="A14" s="6" t="s">
        <v>23</v>
      </c>
      <c r="B14" s="10" t="s">
        <v>24</v>
      </c>
      <c r="C14" s="8" t="s">
        <v>20</v>
      </c>
    </row>
    <row r="15" customFormat="false" ht="15" hidden="false" customHeight="false" outlineLevel="0" collapsed="false">
      <c r="A15" s="6" t="s">
        <v>25</v>
      </c>
      <c r="B15" s="7" t="n">
        <v>1</v>
      </c>
    </row>
    <row r="16" customFormat="false" ht="15" hidden="false" customHeight="false" outlineLevel="0" collapsed="false">
      <c r="A16" s="6" t="s">
        <v>26</v>
      </c>
      <c r="B16" s="10" t="s">
        <v>27</v>
      </c>
      <c r="C16" s="8" t="s">
        <v>28</v>
      </c>
    </row>
    <row r="18" customFormat="false" ht="15" hidden="false" customHeight="false" outlineLevel="0" collapsed="false">
      <c r="A18" s="4" t="s">
        <v>29</v>
      </c>
      <c r="B18" s="5"/>
      <c r="C18" s="5"/>
    </row>
    <row r="19" customFormat="false" ht="15" hidden="false" customHeight="false" outlineLevel="0" collapsed="false">
      <c r="A19" s="6" t="s">
        <v>30</v>
      </c>
      <c r="B19" s="11" t="n">
        <f aca="false">VLOOKUP(B12,'Rates &amp; Notes'!$A$15:$D$17,2,FALSE())</f>
        <v>3</v>
      </c>
    </row>
    <row r="20" customFormat="false" ht="15" hidden="false" customHeight="false" outlineLevel="0" collapsed="false">
      <c r="A20" s="6" t="s">
        <v>31</v>
      </c>
      <c r="B20" s="12" t="n">
        <f aca="false">VLOOKUP(B13,'Rates &amp; Notes'!$A$21:$B$23,2,FALSE())</f>
        <v>0.03</v>
      </c>
    </row>
    <row r="21" customFormat="false" ht="15" hidden="false" customHeight="false" outlineLevel="0" collapsed="false">
      <c r="A21" s="6" t="s">
        <v>32</v>
      </c>
      <c r="B21" s="13" t="n">
        <f aca="false">VLOOKUP(B14,'Rates &amp; Notes'!$A$27:$B$29,2,FALSE())</f>
        <v>0</v>
      </c>
    </row>
    <row r="22" customFormat="false" ht="15" hidden="false" customHeight="false" outlineLevel="0" collapsed="false">
      <c r="A22" s="6" t="s">
        <v>33</v>
      </c>
      <c r="B22" s="14" t="n">
        <f aca="false">VLOOKUP(B12,'Rates &amp; Notes'!$A$15:$D$17,3,FALSE())</f>
        <v>0.1</v>
      </c>
    </row>
    <row r="23" customFormat="false" ht="15" hidden="false" customHeight="false" outlineLevel="0" collapsed="false">
      <c r="A23" s="6" t="s">
        <v>34</v>
      </c>
      <c r="B23" s="14" t="n">
        <f aca="false">VLOOKUP(B12,'Rates &amp; Notes'!$A$15:$D$17,4,FALSE())</f>
        <v>0.1</v>
      </c>
    </row>
    <row r="24" customFormat="false" ht="15" hidden="false" customHeight="false" outlineLevel="0" collapsed="false">
      <c r="A24" s="6" t="s">
        <v>35</v>
      </c>
      <c r="B24" s="11" t="n">
        <f aca="false">B5*B6/1048576</f>
        <v>7.62939453125</v>
      </c>
    </row>
    <row r="25" customFormat="false" ht="15" hidden="false" customHeight="false" outlineLevel="0" collapsed="false">
      <c r="A25" s="6" t="s">
        <v>36</v>
      </c>
      <c r="B25" s="11" t="n">
        <f aca="false">B7*B10*60*B6/1048576</f>
        <v>2.288818359375</v>
      </c>
    </row>
    <row r="26" customFormat="false" ht="15" hidden="false" customHeight="false" outlineLevel="0" collapsed="false">
      <c r="A26" s="6" t="s">
        <v>37</v>
      </c>
      <c r="B26" s="11" t="n">
        <f aca="false">(B24+B25)*'Rates &amp; Notes'!$B$9</f>
        <v>1.48773193359375</v>
      </c>
    </row>
    <row r="27" customFormat="false" ht="15" hidden="false" customHeight="false" outlineLevel="0" collapsed="false">
      <c r="A27" s="6" t="s">
        <v>38</v>
      </c>
      <c r="B27" s="11" t="n">
        <f aca="false">IF(B16="Yes",B7*'Rates &amp; Notes'!$B$10*3600*B6/1048576,0)</f>
        <v>0</v>
      </c>
    </row>
    <row r="28" customFormat="false" ht="15" hidden="false" customHeight="false" outlineLevel="0" collapsed="false">
      <c r="A28" s="6" t="s">
        <v>39</v>
      </c>
      <c r="B28" s="11" t="n">
        <f aca="false">SUM(B24:B27)</f>
        <v>11.4059448242188</v>
      </c>
    </row>
    <row r="29" customFormat="false" ht="15" hidden="false" customHeight="false" outlineLevel="0" collapsed="false">
      <c r="A29" s="6" t="s">
        <v>40</v>
      </c>
      <c r="B29" s="11" t="n">
        <f aca="false">MAX(B8/'Rates &amp; Notes'!$B$6*1000,B9/'Rates &amp; Notes'!$B$7*1000)</f>
        <v>4000</v>
      </c>
    </row>
    <row r="30" customFormat="false" ht="15" hidden="false" customHeight="false" outlineLevel="0" collapsed="false">
      <c r="A30" s="6" t="s">
        <v>41</v>
      </c>
      <c r="B30" s="11" t="n">
        <f aca="false">B11*'Rates &amp; Notes'!$B$5</f>
        <v>100</v>
      </c>
    </row>
    <row r="31" customFormat="false" ht="15" hidden="false" customHeight="false" outlineLevel="0" collapsed="false">
      <c r="A31" s="6" t="s">
        <v>42</v>
      </c>
      <c r="B31" s="11" t="n">
        <f aca="false">B28/('Rates &amp; Notes'!$B$8*1024)*1000</f>
        <v>1.11386179924011</v>
      </c>
    </row>
    <row r="32" customFormat="false" ht="15" hidden="false" customHeight="false" outlineLevel="0" collapsed="false">
      <c r="A32" s="6" t="s">
        <v>43</v>
      </c>
      <c r="B32" s="11" t="n">
        <f aca="false">CEILING(MAX(B29,B30,B31),100)</f>
        <v>4000</v>
      </c>
    </row>
    <row r="34" customFormat="false" ht="15" hidden="false" customHeight="false" outlineLevel="0" collapsed="false">
      <c r="A34" s="4" t="s">
        <v>44</v>
      </c>
      <c r="B34" s="5"/>
      <c r="C34" s="5"/>
    </row>
    <row r="35" customFormat="false" ht="15" hidden="false" customHeight="false" outlineLevel="0" collapsed="false">
      <c r="A35" s="6" t="s">
        <v>45</v>
      </c>
      <c r="B35" s="15" t="n">
        <f aca="false">B32/100*B20*B19*'Rates &amp; Notes'!$B$4*(1-B21)</f>
        <v>2628</v>
      </c>
    </row>
    <row r="36" customFormat="false" ht="15" hidden="false" customHeight="false" outlineLevel="0" collapsed="false">
      <c r="A36" s="6" t="s">
        <v>46</v>
      </c>
      <c r="B36" s="15" t="n">
        <f aca="false">B28*B22</f>
        <v>1.14059448242188</v>
      </c>
    </row>
    <row r="37" customFormat="false" ht="15" hidden="false" customHeight="false" outlineLevel="0" collapsed="false">
      <c r="A37" s="6" t="s">
        <v>47</v>
      </c>
      <c r="B37" s="15" t="n">
        <f aca="false">IF(B12="Regional",0,B7*B6/1048576*'Rates &amp; Notes'!$B$4*3600*'Rates &amp; Notes'!$B$11)</f>
        <v>0</v>
      </c>
    </row>
    <row r="38" customFormat="false" ht="15" hidden="false" customHeight="false" outlineLevel="0" collapsed="false">
      <c r="A38" s="6" t="s">
        <v>48</v>
      </c>
      <c r="B38" s="15" t="n">
        <f aca="false">B24*B15*B23</f>
        <v>0.762939453125</v>
      </c>
    </row>
    <row r="39" customFormat="false" ht="15" hidden="false" customHeight="false" outlineLevel="0" collapsed="false">
      <c r="A39" s="6" t="s">
        <v>49</v>
      </c>
      <c r="B39" s="16" t="n">
        <f aca="false">SUM(B35:B38)</f>
        <v>2629.90353393555</v>
      </c>
      <c r="C39" s="8" t="s">
        <v>50</v>
      </c>
    </row>
    <row r="40" customFormat="false" ht="15" hidden="false" customHeight="false" outlineLevel="0" collapsed="false">
      <c r="A40" s="6" t="s">
        <v>51</v>
      </c>
      <c r="B40" s="17" t="n">
        <f aca="false">B39*12</f>
        <v>31558.8424072266</v>
      </c>
    </row>
    <row r="42" customFormat="false" ht="15" hidden="false" customHeight="false" outlineLevel="0" collapsed="false">
      <c r="A42" s="6" t="s">
        <v>52</v>
      </c>
      <c r="B42" s="15" t="n">
        <f aca="false">IF(B5&gt;0,B39/B5*1000000,0)</f>
        <v>1314.95176696777</v>
      </c>
      <c r="C42" s="8" t="s">
        <v>53</v>
      </c>
    </row>
  </sheetData>
  <mergeCells count="1">
    <mergeCell ref="A1:C1"/>
  </mergeCells>
  <dataValidations count="4">
    <dataValidation allowBlank="false" errorStyle="stop" operator="between" showDropDown="false" showErrorMessage="false" showInputMessage="false" sqref="B12" type="list">
      <formula1>'Rates &amp; Notes'!$A$15:$A$17</formula1>
      <formula2>0</formula2>
    </dataValidation>
    <dataValidation allowBlank="false" errorStyle="stop" operator="between" showDropDown="false" showErrorMessage="false" showInputMessage="false" sqref="B13" type="list">
      <formula1>'Rates &amp; Notes'!$A$21:$A$23</formula1>
      <formula2>0</formula2>
    </dataValidation>
    <dataValidation allowBlank="false" errorStyle="stop" operator="between" showDropDown="false" showErrorMessage="false" showInputMessage="false" sqref="B14" type="list">
      <formula1>'Rates &amp; Notes'!$A$27:$A$29</formula1>
      <formula2>0</formula2>
    </dataValidation>
    <dataValidation allowBlank="false" errorStyle="stop" operator="between" showDropDown="false" showErrorMessage="false" showInputMessage="false" sqref="B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B3" s="3" t="s">
        <v>54</v>
      </c>
      <c r="C3" s="3" t="s">
        <v>55</v>
      </c>
      <c r="D3" s="3" t="s">
        <v>56</v>
      </c>
      <c r="E3" s="3" t="s">
        <v>57</v>
      </c>
    </row>
    <row r="4" customFormat="false" ht="15" hidden="false" customHeight="false" outlineLevel="0" collapsed="false">
      <c r="A4" s="4" t="s">
        <v>3</v>
      </c>
      <c r="B4" s="5"/>
      <c r="C4" s="5"/>
      <c r="D4" s="5"/>
      <c r="E4" s="5"/>
    </row>
    <row r="5" customFormat="false" ht="15" hidden="false" customHeight="false" outlineLevel="0" collapsed="false">
      <c r="A5" s="6" t="s">
        <v>4</v>
      </c>
      <c r="B5" s="7" t="n">
        <v>50000</v>
      </c>
      <c r="C5" s="7" t="n">
        <v>2000000</v>
      </c>
      <c r="D5" s="7" t="n">
        <v>5000000</v>
      </c>
      <c r="E5" s="7" t="n">
        <v>100000000</v>
      </c>
    </row>
    <row r="6" customFormat="false" ht="15" hidden="false" customHeight="false" outlineLevel="0" collapsed="false">
      <c r="A6" s="6" t="s">
        <v>6</v>
      </c>
      <c r="B6" s="9" t="n">
        <v>3</v>
      </c>
      <c r="C6" s="9" t="n">
        <v>4</v>
      </c>
      <c r="D6" s="9" t="n">
        <v>4</v>
      </c>
      <c r="E6" s="9" t="n">
        <v>3</v>
      </c>
    </row>
    <row r="7" customFormat="false" ht="15" hidden="false" customHeight="false" outlineLevel="0" collapsed="false">
      <c r="A7" s="6" t="s">
        <v>8</v>
      </c>
      <c r="B7" s="7" t="n">
        <v>200</v>
      </c>
      <c r="C7" s="7" t="n">
        <v>2000</v>
      </c>
      <c r="D7" s="7" t="n">
        <v>3000</v>
      </c>
      <c r="E7" s="7" t="n">
        <v>5000</v>
      </c>
    </row>
    <row r="8" customFormat="false" ht="15" hidden="false" customHeight="false" outlineLevel="0" collapsed="false">
      <c r="A8" s="6" t="s">
        <v>10</v>
      </c>
      <c r="B8" s="7" t="n">
        <v>800</v>
      </c>
      <c r="C8" s="7" t="n">
        <v>8000</v>
      </c>
      <c r="D8" s="7" t="n">
        <v>12000</v>
      </c>
      <c r="E8" s="7" t="n">
        <v>20000</v>
      </c>
    </row>
    <row r="9" customFormat="false" ht="15" hidden="false" customHeight="false" outlineLevel="0" collapsed="false">
      <c r="A9" s="6" t="s">
        <v>12</v>
      </c>
      <c r="B9" s="7" t="n">
        <v>50</v>
      </c>
      <c r="C9" s="7" t="n">
        <v>500</v>
      </c>
      <c r="D9" s="7" t="n">
        <v>800</v>
      </c>
      <c r="E9" s="7" t="n">
        <v>2000</v>
      </c>
    </row>
    <row r="10" customFormat="false" ht="15" hidden="false" customHeight="false" outlineLevel="0" collapsed="false">
      <c r="A10" s="6" t="s">
        <v>14</v>
      </c>
      <c r="B10" s="7" t="n">
        <v>5</v>
      </c>
      <c r="C10" s="7" t="n">
        <v>5</v>
      </c>
      <c r="D10" s="7" t="n">
        <v>5</v>
      </c>
      <c r="E10" s="7" t="n">
        <v>10</v>
      </c>
    </row>
    <row r="11" customFormat="false" ht="15" hidden="false" customHeight="false" outlineLevel="0" collapsed="false">
      <c r="A11" s="6" t="s">
        <v>16</v>
      </c>
      <c r="B11" s="7" t="n">
        <v>1</v>
      </c>
      <c r="C11" s="7" t="n">
        <v>2</v>
      </c>
      <c r="D11" s="7" t="n">
        <v>3</v>
      </c>
      <c r="E11" s="7" t="n">
        <v>5</v>
      </c>
    </row>
    <row r="12" customFormat="false" ht="15" hidden="false" customHeight="false" outlineLevel="0" collapsed="false">
      <c r="A12" s="6" t="s">
        <v>18</v>
      </c>
      <c r="B12" s="10" t="s">
        <v>19</v>
      </c>
      <c r="C12" s="10" t="s">
        <v>19</v>
      </c>
      <c r="D12" s="10" t="s">
        <v>58</v>
      </c>
      <c r="E12" s="10" t="s">
        <v>58</v>
      </c>
    </row>
    <row r="13" customFormat="false" ht="15" hidden="false" customHeight="false" outlineLevel="0" collapsed="false">
      <c r="A13" s="6" t="s">
        <v>21</v>
      </c>
      <c r="B13" s="10" t="s">
        <v>22</v>
      </c>
      <c r="C13" s="10" t="s">
        <v>59</v>
      </c>
      <c r="D13" s="10" t="s">
        <v>60</v>
      </c>
      <c r="E13" s="10" t="s">
        <v>60</v>
      </c>
    </row>
    <row r="14" customFormat="false" ht="15" hidden="false" customHeight="false" outlineLevel="0" collapsed="false">
      <c r="A14" s="6" t="s">
        <v>23</v>
      </c>
      <c r="B14" s="10" t="s">
        <v>24</v>
      </c>
      <c r="C14" s="10" t="s">
        <v>61</v>
      </c>
      <c r="D14" s="10" t="s">
        <v>61</v>
      </c>
      <c r="E14" s="10" t="s">
        <v>62</v>
      </c>
    </row>
    <row r="15" customFormat="false" ht="15" hidden="false" customHeight="false" outlineLevel="0" collapsed="false">
      <c r="A15" s="6" t="s">
        <v>25</v>
      </c>
      <c r="B15" s="7" t="n">
        <v>1</v>
      </c>
      <c r="C15" s="7" t="n">
        <v>1</v>
      </c>
      <c r="D15" s="7" t="n">
        <v>2</v>
      </c>
      <c r="E15" s="7" t="n">
        <v>1</v>
      </c>
    </row>
    <row r="16" customFormat="false" ht="15" hidden="false" customHeight="false" outlineLevel="0" collapsed="false">
      <c r="A16" s="6" t="s">
        <v>26</v>
      </c>
      <c r="B16" s="10" t="s">
        <v>27</v>
      </c>
      <c r="C16" s="10" t="s">
        <v>27</v>
      </c>
      <c r="D16" s="10" t="s">
        <v>63</v>
      </c>
      <c r="E16" s="10" t="s">
        <v>63</v>
      </c>
    </row>
    <row r="18" customFormat="false" ht="15" hidden="false" customHeight="false" outlineLevel="0" collapsed="false">
      <c r="A18" s="4" t="s">
        <v>29</v>
      </c>
      <c r="B18" s="5"/>
      <c r="C18" s="5"/>
      <c r="D18" s="5"/>
      <c r="E18" s="5"/>
    </row>
    <row r="19" customFormat="false" ht="15" hidden="false" customHeight="false" outlineLevel="0" collapsed="false">
      <c r="A19" s="6" t="s">
        <v>30</v>
      </c>
      <c r="B19" s="11" t="n">
        <f aca="false">VLOOKUP(B12,'Rates &amp; Notes'!$A$15:$D$17,2,FALSE())</f>
        <v>3</v>
      </c>
      <c r="C19" s="11" t="n">
        <f aca="false">VLOOKUP(C12,'Rates &amp; Notes'!$A$15:$D$17,2,FALSE())</f>
        <v>3</v>
      </c>
      <c r="D19" s="11" t="n">
        <f aca="false">VLOOKUP(D12,'Rates &amp; Notes'!$A$15:$D$17,2,FALSE())</f>
        <v>5</v>
      </c>
      <c r="E19" s="11" t="n">
        <f aca="false">VLOOKUP(E12,'Rates &amp; Notes'!$A$15:$D$17,2,FALSE())</f>
        <v>5</v>
      </c>
    </row>
    <row r="20" customFormat="false" ht="15" hidden="false" customHeight="false" outlineLevel="0" collapsed="false">
      <c r="A20" s="6" t="s">
        <v>31</v>
      </c>
      <c r="B20" s="12" t="n">
        <f aca="false">VLOOKUP(B13,'Rates &amp; Notes'!$A$21:$B$23,2,FALSE())</f>
        <v>0.03</v>
      </c>
      <c r="C20" s="12" t="n">
        <f aca="false">VLOOKUP(C13,'Rates &amp; Notes'!$A$21:$B$23,2,FALSE())</f>
        <v>0.041</v>
      </c>
      <c r="D20" s="12" t="n">
        <f aca="false">VLOOKUP(D13,'Rates &amp; Notes'!$A$21:$B$23,2,FALSE())</f>
        <v>0.057</v>
      </c>
      <c r="E20" s="12" t="n">
        <f aca="false">VLOOKUP(E13,'Rates &amp; Notes'!$A$21:$B$23,2,FALSE())</f>
        <v>0.057</v>
      </c>
    </row>
    <row r="21" customFormat="false" ht="15" hidden="false" customHeight="false" outlineLevel="0" collapsed="false">
      <c r="A21" s="6" t="s">
        <v>32</v>
      </c>
      <c r="B21" s="13" t="n">
        <f aca="false">VLOOKUP(B14,'Rates &amp; Notes'!$A$27:$B$29,2,FALSE())</f>
        <v>0</v>
      </c>
      <c r="C21" s="13" t="n">
        <f aca="false">VLOOKUP(C14,'Rates &amp; Notes'!$A$27:$B$29,2,FALSE())</f>
        <v>0.2</v>
      </c>
      <c r="D21" s="13" t="n">
        <f aca="false">VLOOKUP(D14,'Rates &amp; Notes'!$A$27:$B$29,2,FALSE())</f>
        <v>0.2</v>
      </c>
      <c r="E21" s="13" t="n">
        <f aca="false">VLOOKUP(E14,'Rates &amp; Notes'!$A$27:$B$29,2,FALSE())</f>
        <v>0.4</v>
      </c>
    </row>
    <row r="22" customFormat="false" ht="15" hidden="false" customHeight="false" outlineLevel="0" collapsed="false">
      <c r="A22" s="6" t="s">
        <v>33</v>
      </c>
      <c r="B22" s="14" t="n">
        <f aca="false">VLOOKUP(B12,'Rates &amp; Notes'!$A$15:$D$17,3,FALSE())</f>
        <v>0.1</v>
      </c>
      <c r="C22" s="14" t="n">
        <f aca="false">VLOOKUP(C12,'Rates &amp; Notes'!$A$15:$D$17,3,FALSE())</f>
        <v>0.1</v>
      </c>
      <c r="D22" s="14" t="n">
        <f aca="false">VLOOKUP(D12,'Rates &amp; Notes'!$A$15:$D$17,3,FALSE())</f>
        <v>0.5</v>
      </c>
      <c r="E22" s="14" t="n">
        <f aca="false">VLOOKUP(E12,'Rates &amp; Notes'!$A$15:$D$17,3,FALSE())</f>
        <v>0.5</v>
      </c>
    </row>
    <row r="23" customFormat="false" ht="15" hidden="false" customHeight="false" outlineLevel="0" collapsed="false">
      <c r="A23" s="6" t="s">
        <v>34</v>
      </c>
      <c r="B23" s="14" t="n">
        <f aca="false">VLOOKUP(B12,'Rates &amp; Notes'!$A$15:$D$17,4,FALSE())</f>
        <v>0.1</v>
      </c>
      <c r="C23" s="14" t="n">
        <f aca="false">VLOOKUP(C12,'Rates &amp; Notes'!$A$15:$D$17,4,FALSE())</f>
        <v>0.1</v>
      </c>
      <c r="D23" s="14" t="n">
        <f aca="false">VLOOKUP(D12,'Rates &amp; Notes'!$A$15:$D$17,4,FALSE())</f>
        <v>0.41</v>
      </c>
      <c r="E23" s="14" t="n">
        <f aca="false">VLOOKUP(E12,'Rates &amp; Notes'!$A$15:$D$17,4,FALSE())</f>
        <v>0.41</v>
      </c>
    </row>
    <row r="24" customFormat="false" ht="15" hidden="false" customHeight="false" outlineLevel="0" collapsed="false">
      <c r="A24" s="6" t="s">
        <v>35</v>
      </c>
      <c r="B24" s="11" t="n">
        <f aca="false">B5*B6/1048576</f>
        <v>0.143051147460938</v>
      </c>
      <c r="C24" s="11" t="n">
        <f aca="false">C5*C6/1048576</f>
        <v>7.62939453125</v>
      </c>
      <c r="D24" s="11" t="n">
        <f aca="false">D5*D6/1048576</f>
        <v>19.073486328125</v>
      </c>
      <c r="E24" s="11" t="n">
        <f aca="false">E5*E6/1048576</f>
        <v>286.102294921875</v>
      </c>
    </row>
    <row r="25" customFormat="false" ht="15" hidden="false" customHeight="false" outlineLevel="0" collapsed="false">
      <c r="A25" s="6" t="s">
        <v>36</v>
      </c>
      <c r="B25" s="11" t="n">
        <f aca="false">B7*B10*60*B6/1048576</f>
        <v>0.171661376953125</v>
      </c>
      <c r="C25" s="11" t="n">
        <f aca="false">C7*C10*60*C6/1048576</f>
        <v>2.288818359375</v>
      </c>
      <c r="D25" s="11" t="n">
        <f aca="false">D7*D10*60*D6/1048576</f>
        <v>3.4332275390625</v>
      </c>
      <c r="E25" s="11" t="n">
        <f aca="false">E7*E10*60*E6/1048576</f>
        <v>8.58306884765625</v>
      </c>
    </row>
    <row r="26" customFormat="false" ht="15" hidden="false" customHeight="false" outlineLevel="0" collapsed="false">
      <c r="A26" s="6" t="s">
        <v>37</v>
      </c>
      <c r="B26" s="11" t="n">
        <f aca="false">(B24+B25)*'Rates &amp; Notes'!$B$9</f>
        <v>0.0472068786621094</v>
      </c>
      <c r="C26" s="11" t="n">
        <f aca="false">(C24+C25)*'Rates &amp; Notes'!$B$9</f>
        <v>1.48773193359375</v>
      </c>
      <c r="D26" s="11" t="n">
        <f aca="false">(D24+D25)*'Rates &amp; Notes'!$B$9</f>
        <v>3.37600708007813</v>
      </c>
      <c r="E26" s="11" t="n">
        <f aca="false">(E24+E25)*'Rates &amp; Notes'!$B$9</f>
        <v>44.2028045654297</v>
      </c>
    </row>
    <row r="27" customFormat="false" ht="15" hidden="false" customHeight="false" outlineLevel="0" collapsed="false">
      <c r="A27" s="6" t="s">
        <v>38</v>
      </c>
      <c r="B27" s="11" t="n">
        <f aca="false">IF(B16="Yes",B7*'Rates &amp; Notes'!$B$10*3600*B6/1048576,0)</f>
        <v>0</v>
      </c>
      <c r="C27" s="11" t="n">
        <f aca="false">IF(C16="Yes",C7*'Rates &amp; Notes'!$B$10*3600*C6/1048576,0)</f>
        <v>0</v>
      </c>
      <c r="D27" s="11" t="n">
        <f aca="false">IF(D16="Yes",D7*'Rates &amp; Notes'!$B$10*3600*D6/1048576,0)</f>
        <v>988.76953125</v>
      </c>
      <c r="E27" s="11" t="n">
        <f aca="false">IF(E16="Yes",E7*'Rates &amp; Notes'!$B$10*3600*E6/1048576,0)</f>
        <v>1235.9619140625</v>
      </c>
    </row>
    <row r="28" customFormat="false" ht="15" hidden="false" customHeight="false" outlineLevel="0" collapsed="false">
      <c r="A28" s="6" t="s">
        <v>39</v>
      </c>
      <c r="B28" s="11" t="n">
        <f aca="false">SUM(B24:B27)</f>
        <v>0.361919403076172</v>
      </c>
      <c r="C28" s="11" t="n">
        <f aca="false">SUM(C24:C27)</f>
        <v>11.4059448242188</v>
      </c>
      <c r="D28" s="11" t="n">
        <f aca="false">SUM(D24:D27)</f>
        <v>1014.65225219727</v>
      </c>
      <c r="E28" s="11" t="n">
        <f aca="false">SUM(E24:E27)</f>
        <v>1574.85008239746</v>
      </c>
    </row>
    <row r="29" customFormat="false" ht="15" hidden="false" customHeight="false" outlineLevel="0" collapsed="false">
      <c r="A29" s="6" t="s">
        <v>40</v>
      </c>
      <c r="B29" s="11" t="n">
        <f aca="false">MAX(B8/'Rates &amp; Notes'!$B$6*1000,B9/'Rates &amp; Notes'!$B$7*1000)</f>
        <v>400</v>
      </c>
      <c r="C29" s="11" t="n">
        <f aca="false">MAX(C8/'Rates &amp; Notes'!$B$6*1000,C9/'Rates &amp; Notes'!$B$7*1000)</f>
        <v>4000</v>
      </c>
      <c r="D29" s="11" t="n">
        <f aca="false">MAX(D8/'Rates &amp; Notes'!$B$6*1000,D9/'Rates &amp; Notes'!$B$7*1000)</f>
        <v>6000</v>
      </c>
      <c r="E29" s="11" t="n">
        <f aca="false">MAX(E8/'Rates &amp; Notes'!$B$6*1000,E9/'Rates &amp; Notes'!$B$7*1000)</f>
        <v>10000</v>
      </c>
    </row>
    <row r="30" customFormat="false" ht="15" hidden="false" customHeight="false" outlineLevel="0" collapsed="false">
      <c r="A30" s="6" t="s">
        <v>41</v>
      </c>
      <c r="B30" s="11" t="n">
        <f aca="false">B11*'Rates &amp; Notes'!$B$5</f>
        <v>100</v>
      </c>
      <c r="C30" s="11" t="n">
        <f aca="false">C11*'Rates &amp; Notes'!$B$5</f>
        <v>200</v>
      </c>
      <c r="D30" s="11" t="n">
        <f aca="false">D11*'Rates &amp; Notes'!$B$5</f>
        <v>300</v>
      </c>
      <c r="E30" s="11" t="n">
        <f aca="false">E11*'Rates &amp; Notes'!$B$5</f>
        <v>500</v>
      </c>
    </row>
    <row r="31" customFormat="false" ht="15" hidden="false" customHeight="false" outlineLevel="0" collapsed="false">
      <c r="A31" s="6" t="s">
        <v>42</v>
      </c>
      <c r="B31" s="11" t="n">
        <f aca="false">B28/('Rates &amp; Notes'!$B$8*1024)*1000</f>
        <v>0.0353436917066574</v>
      </c>
      <c r="C31" s="11" t="n">
        <f aca="false">C28/('Rates &amp; Notes'!$B$8*1024)*1000</f>
        <v>1.11386179924011</v>
      </c>
      <c r="D31" s="11" t="n">
        <f aca="false">D28/('Rates &amp; Notes'!$B$8*1024)*1000</f>
        <v>99.0871340036392</v>
      </c>
      <c r="E31" s="11" t="n">
        <f aca="false">E28/('Rates &amp; Notes'!$B$8*1024)*1000</f>
        <v>153.793953359127</v>
      </c>
    </row>
    <row r="32" customFormat="false" ht="15" hidden="false" customHeight="false" outlineLevel="0" collapsed="false">
      <c r="A32" s="6" t="s">
        <v>43</v>
      </c>
      <c r="B32" s="11" t="n">
        <f aca="false">CEILING(MAX(B29,B30,B31),100)</f>
        <v>400</v>
      </c>
      <c r="C32" s="11" t="n">
        <f aca="false">CEILING(MAX(C29,C30,C31),100)</f>
        <v>4000</v>
      </c>
      <c r="D32" s="11" t="n">
        <f aca="false">CEILING(MAX(D29,D30,D31),100)</f>
        <v>6000</v>
      </c>
      <c r="E32" s="11" t="n">
        <f aca="false">CEILING(MAX(E29,E30,E31),100)</f>
        <v>10000</v>
      </c>
    </row>
    <row r="34" customFormat="false" ht="15" hidden="false" customHeight="false" outlineLevel="0" collapsed="false">
      <c r="A34" s="4" t="s">
        <v>44</v>
      </c>
      <c r="B34" s="5"/>
      <c r="C34" s="5"/>
      <c r="D34" s="5"/>
      <c r="E34" s="5"/>
    </row>
    <row r="35" customFormat="false" ht="15" hidden="false" customHeight="false" outlineLevel="0" collapsed="false">
      <c r="A35" s="6" t="s">
        <v>45</v>
      </c>
      <c r="B35" s="15" t="n">
        <f aca="false">B32/100*B20*B19*'Rates &amp; Notes'!$B$4*(1-B21)</f>
        <v>262.8</v>
      </c>
      <c r="C35" s="15" t="n">
        <f aca="false">C32/100*C20*C19*'Rates &amp; Notes'!$B$4*(1-C21)</f>
        <v>2873.28</v>
      </c>
      <c r="D35" s="15" t="n">
        <f aca="false">D32/100*D20*D19*'Rates &amp; Notes'!$B$4*(1-D21)</f>
        <v>9986.4</v>
      </c>
      <c r="E35" s="15" t="n">
        <f aca="false">E32/100*E20*E19*'Rates &amp; Notes'!$B$4*(1-E21)</f>
        <v>12483</v>
      </c>
    </row>
    <row r="36" customFormat="false" ht="15" hidden="false" customHeight="false" outlineLevel="0" collapsed="false">
      <c r="A36" s="6" t="s">
        <v>46</v>
      </c>
      <c r="B36" s="15" t="n">
        <f aca="false">B28*B22</f>
        <v>0.0361919403076172</v>
      </c>
      <c r="C36" s="15" t="n">
        <f aca="false">C28*C22</f>
        <v>1.14059448242188</v>
      </c>
      <c r="D36" s="15" t="n">
        <f aca="false">D28*D22</f>
        <v>507.326126098633</v>
      </c>
      <c r="E36" s="15" t="n">
        <f aca="false">E28*E22</f>
        <v>787.425041198731</v>
      </c>
    </row>
    <row r="37" customFormat="false" ht="15" hidden="false" customHeight="false" outlineLevel="0" collapsed="false">
      <c r="A37" s="6" t="s">
        <v>47</v>
      </c>
      <c r="B37" s="15" t="n">
        <f aca="false">IF(B12="Regional",0,B7*B6/1048576*'Rates &amp; Notes'!$B$4*3600*'Rates &amp; Notes'!$B$11)</f>
        <v>0</v>
      </c>
      <c r="C37" s="15" t="n">
        <f aca="false">IF(C12="Regional",0,C7*C6/1048576*'Rates &amp; Notes'!$B$4*3600*'Rates &amp; Notes'!$B$11)</f>
        <v>0</v>
      </c>
      <c r="D37" s="15" t="n">
        <f aca="false">IF(D12="Regional",0,D7*D6/1048576*'Rates &amp; Notes'!$B$4*3600*'Rates &amp; Notes'!$B$11)</f>
        <v>3609.0087890625</v>
      </c>
      <c r="E37" s="15" t="n">
        <f aca="false">IF(E12="Regional",0,E7*E6/1048576*'Rates &amp; Notes'!$B$4*3600*'Rates &amp; Notes'!$B$11)</f>
        <v>4511.26098632813</v>
      </c>
    </row>
    <row r="38" customFormat="false" ht="15" hidden="false" customHeight="false" outlineLevel="0" collapsed="false">
      <c r="A38" s="6" t="s">
        <v>48</v>
      </c>
      <c r="B38" s="15" t="n">
        <f aca="false">B24*B15*B23</f>
        <v>0.0143051147460938</v>
      </c>
      <c r="C38" s="15" t="n">
        <f aca="false">C24*C15*C23</f>
        <v>0.762939453125</v>
      </c>
      <c r="D38" s="15" t="n">
        <f aca="false">D24*D15*D23</f>
        <v>15.6402587890625</v>
      </c>
      <c r="E38" s="15" t="n">
        <f aca="false">E24*E15*E23</f>
        <v>117.301940917969</v>
      </c>
    </row>
    <row r="39" customFormat="false" ht="15" hidden="false" customHeight="false" outlineLevel="0" collapsed="false">
      <c r="A39" s="6" t="s">
        <v>49</v>
      </c>
      <c r="B39" s="16" t="n">
        <f aca="false">SUM(B35:B38)</f>
        <v>262.850497055054</v>
      </c>
      <c r="C39" s="16" t="n">
        <f aca="false">SUM(C35:C38)</f>
        <v>2875.18353393555</v>
      </c>
      <c r="D39" s="16" t="n">
        <f aca="false">SUM(D35:D38)</f>
        <v>14118.3751739502</v>
      </c>
      <c r="E39" s="16" t="n">
        <f aca="false">SUM(E35:E38)</f>
        <v>17898.9879684448</v>
      </c>
    </row>
    <row r="40" customFormat="false" ht="15" hidden="false" customHeight="false" outlineLevel="0" collapsed="false">
      <c r="A40" s="6" t="s">
        <v>51</v>
      </c>
      <c r="B40" s="17" t="n">
        <f aca="false">B39*12</f>
        <v>3154.20596466065</v>
      </c>
      <c r="C40" s="17" t="n">
        <f aca="false">C39*12</f>
        <v>34502.2024072266</v>
      </c>
      <c r="D40" s="17" t="n">
        <f aca="false">D39*12</f>
        <v>169420.502087402</v>
      </c>
      <c r="E40" s="17" t="n">
        <f aca="false">E39*12</f>
        <v>214787.855621338</v>
      </c>
    </row>
    <row r="42" customFormat="false" ht="15" hidden="false" customHeight="false" outlineLevel="0" collapsed="false">
      <c r="A42" s="6" t="s">
        <v>52</v>
      </c>
      <c r="B42" s="15" t="n">
        <f aca="false">IF(B5&gt;0,B39/B5*1000000,0)</f>
        <v>5257.00994110107</v>
      </c>
      <c r="C42" s="15" t="n">
        <f aca="false">IF(C5&gt;0,C39/C5*1000000,0)</f>
        <v>1437.59176696777</v>
      </c>
      <c r="D42" s="15" t="n">
        <f aca="false">IF(D5&gt;0,D39/D5*1000000,0)</f>
        <v>2823.67503479004</v>
      </c>
      <c r="E42" s="15" t="n">
        <f aca="false">IF(E5&gt;0,E39/E5*1000000,0)</f>
        <v>178.989879684448</v>
      </c>
    </row>
  </sheetData>
  <mergeCells count="1">
    <mergeCell ref="A1:E1"/>
  </mergeCells>
  <dataValidations count="16">
    <dataValidation allowBlank="false" errorStyle="stop" operator="between" showDropDown="false" showErrorMessage="false" showInputMessage="false" sqref="B12" type="list">
      <formula1>'Rates &amp; Notes'!$A$15:$A$17</formula1>
      <formula2>0</formula2>
    </dataValidation>
    <dataValidation allowBlank="false" errorStyle="stop" operator="between" showDropDown="false" showErrorMessage="false" showInputMessage="false" sqref="B13" type="list">
      <formula1>'Rates &amp; Notes'!$A$21:$A$23</formula1>
      <formula2>0</formula2>
    </dataValidation>
    <dataValidation allowBlank="false" errorStyle="stop" operator="between" showDropDown="false" showErrorMessage="false" showInputMessage="false" sqref="B14" type="list">
      <formula1>'Rates &amp; Notes'!$A$27:$A$29</formula1>
      <formula2>0</formula2>
    </dataValidation>
    <dataValidation allowBlank="false" errorStyle="stop" operator="between" showDropDown="false" showErrorMessage="false" showInputMessage="false" sqref="B16" type="list">
      <formula1>"Yes,No"</formula1>
      <formula2>0</formula2>
    </dataValidation>
    <dataValidation allowBlank="false" errorStyle="stop" operator="between" showDropDown="false" showErrorMessage="false" showInputMessage="false" sqref="C12" type="list">
      <formula1>'Rates &amp; Notes'!$A$15:$A$17</formula1>
      <formula2>0</formula2>
    </dataValidation>
    <dataValidation allowBlank="false" errorStyle="stop" operator="between" showDropDown="false" showErrorMessage="false" showInputMessage="false" sqref="C13" type="list">
      <formula1>'Rates &amp; Notes'!$A$21:$A$23</formula1>
      <formula2>0</formula2>
    </dataValidation>
    <dataValidation allowBlank="false" errorStyle="stop" operator="between" showDropDown="false" showErrorMessage="false" showInputMessage="false" sqref="C14" type="list">
      <formula1>'Rates &amp; Notes'!$A$27:$A$29</formula1>
      <formula2>0</formula2>
    </dataValidation>
    <dataValidation allowBlank="false" errorStyle="stop" operator="between" showDropDown="false" showErrorMessage="false" showInputMessage="false" sqref="C16" type="list">
      <formula1>"Yes,No"</formula1>
      <formula2>0</formula2>
    </dataValidation>
    <dataValidation allowBlank="false" errorStyle="stop" operator="between" showDropDown="false" showErrorMessage="false" showInputMessage="false" sqref="D12" type="list">
      <formula1>'Rates &amp; Notes'!$A$15:$A$17</formula1>
      <formula2>0</formula2>
    </dataValidation>
    <dataValidation allowBlank="false" errorStyle="stop" operator="between" showDropDown="false" showErrorMessage="false" showInputMessage="false" sqref="D13" type="list">
      <formula1>'Rates &amp; Notes'!$A$21:$A$23</formula1>
      <formula2>0</formula2>
    </dataValidation>
    <dataValidation allowBlank="false" errorStyle="stop" operator="between" showDropDown="false" showErrorMessage="false" showInputMessage="false" sqref="D14" type="list">
      <formula1>'Rates &amp; Notes'!$A$27:$A$29</formula1>
      <formula2>0</formula2>
    </dataValidation>
    <dataValidation allowBlank="false" errorStyle="stop" operator="between" showDropDown="false" showErrorMessage="false" showInputMessage="false" sqref="D16" type="list">
      <formula1>"Yes,No"</formula1>
      <formula2>0</formula2>
    </dataValidation>
    <dataValidation allowBlank="false" errorStyle="stop" operator="between" showDropDown="false" showErrorMessage="false" showInputMessage="false" sqref="E12" type="list">
      <formula1>'Rates &amp; Notes'!$A$15:$A$17</formula1>
      <formula2>0</formula2>
    </dataValidation>
    <dataValidation allowBlank="false" errorStyle="stop" operator="between" showDropDown="false" showErrorMessage="false" showInputMessage="false" sqref="E13" type="list">
      <formula1>'Rates &amp; Notes'!$A$21:$A$23</formula1>
      <formula2>0</formula2>
    </dataValidation>
    <dataValidation allowBlank="false" errorStyle="stop" operator="between" showDropDown="false" showErrorMessage="false" showInputMessage="false" sqref="E14" type="list">
      <formula1>'Rates &amp; Notes'!$A$27:$A$29</formula1>
      <formula2>0</formula2>
    </dataValidation>
    <dataValidation allowBlank="false" errorStyle="stop" operator="between" showDropDown="false" showErrorMessage="false" showInputMessage="false" sqref="E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1" t="s">
        <v>64</v>
      </c>
      <c r="B1" s="1"/>
      <c r="C1" s="1"/>
      <c r="D1" s="1"/>
    </row>
    <row r="2" customFormat="false" ht="15" hidden="false" customHeight="false" outlineLevel="0" collapsed="false">
      <c r="A2" s="2" t="s">
        <v>65</v>
      </c>
    </row>
    <row r="4" customFormat="false" ht="15" hidden="false" customHeight="false" outlineLevel="0" collapsed="false">
      <c r="A4" s="6" t="s">
        <v>66</v>
      </c>
      <c r="B4" s="10" t="n">
        <v>730</v>
      </c>
    </row>
    <row r="5" customFormat="false" ht="15" hidden="false" customHeight="false" outlineLevel="0" collapsed="false">
      <c r="A5" s="6" t="s">
        <v>67</v>
      </c>
      <c r="B5" s="10" t="n">
        <v>100</v>
      </c>
    </row>
    <row r="6" customFormat="false" ht="15" hidden="false" customHeight="false" outlineLevel="0" collapsed="false">
      <c r="A6" s="6" t="s">
        <v>68</v>
      </c>
      <c r="B6" s="18" t="n">
        <v>2000</v>
      </c>
    </row>
    <row r="7" customFormat="false" ht="15" hidden="false" customHeight="false" outlineLevel="0" collapsed="false">
      <c r="A7" s="6" t="s">
        <v>69</v>
      </c>
      <c r="B7" s="18" t="n">
        <v>10000</v>
      </c>
    </row>
    <row r="8" customFormat="false" ht="15" hidden="false" customHeight="false" outlineLevel="0" collapsed="false">
      <c r="A8" s="6" t="s">
        <v>70</v>
      </c>
      <c r="B8" s="10" t="n">
        <v>10</v>
      </c>
    </row>
    <row r="9" customFormat="false" ht="15" hidden="false" customHeight="false" outlineLevel="0" collapsed="false">
      <c r="A9" s="6" t="s">
        <v>71</v>
      </c>
      <c r="B9" s="10" t="n">
        <v>0.15</v>
      </c>
    </row>
    <row r="10" customFormat="false" ht="15" hidden="false" customHeight="false" outlineLevel="0" collapsed="false">
      <c r="A10" s="6" t="s">
        <v>72</v>
      </c>
      <c r="B10" s="10" t="n">
        <v>24</v>
      </c>
    </row>
    <row r="11" customFormat="false" ht="15" hidden="false" customHeight="false" outlineLevel="0" collapsed="false">
      <c r="A11" s="6" t="s">
        <v>73</v>
      </c>
      <c r="B11" s="10" t="n">
        <v>0.12</v>
      </c>
    </row>
    <row r="13" customFormat="false" ht="15" hidden="false" customHeight="false" outlineLevel="0" collapsed="false">
      <c r="A13" s="19" t="s">
        <v>74</v>
      </c>
    </row>
    <row r="14" customFormat="false" ht="15" hidden="false" customHeight="false" outlineLevel="0" collapsed="false">
      <c r="A14" s="4" t="s">
        <v>18</v>
      </c>
      <c r="B14" s="4" t="s">
        <v>75</v>
      </c>
      <c r="C14" s="4" t="s">
        <v>76</v>
      </c>
      <c r="D14" s="4" t="s">
        <v>77</v>
      </c>
    </row>
    <row r="15" customFormat="false" ht="15" hidden="false" customHeight="false" outlineLevel="0" collapsed="false">
      <c r="A15" s="20" t="s">
        <v>19</v>
      </c>
      <c r="B15" s="0" t="n">
        <v>3</v>
      </c>
      <c r="C15" s="21" t="n">
        <v>0.1</v>
      </c>
      <c r="D15" s="21" t="n">
        <v>0.1</v>
      </c>
    </row>
    <row r="16" customFormat="false" ht="15" hidden="false" customHeight="false" outlineLevel="0" collapsed="false">
      <c r="A16" s="20" t="s">
        <v>78</v>
      </c>
      <c r="B16" s="0" t="n">
        <v>4</v>
      </c>
      <c r="C16" s="21" t="n">
        <v>0.3</v>
      </c>
      <c r="D16" s="21" t="n">
        <v>0.3</v>
      </c>
    </row>
    <row r="17" customFormat="false" ht="15" hidden="false" customHeight="false" outlineLevel="0" collapsed="false">
      <c r="A17" s="20" t="s">
        <v>58</v>
      </c>
      <c r="B17" s="0" t="n">
        <v>5</v>
      </c>
      <c r="C17" s="21" t="n">
        <v>0.5</v>
      </c>
      <c r="D17" s="21" t="n">
        <v>0.41</v>
      </c>
    </row>
    <row r="19" customFormat="false" ht="15" hidden="false" customHeight="false" outlineLevel="0" collapsed="false">
      <c r="A19" s="19" t="s">
        <v>79</v>
      </c>
    </row>
    <row r="20" customFormat="false" ht="15" hidden="false" customHeight="false" outlineLevel="0" collapsed="false">
      <c r="A20" s="19" t="s">
        <v>21</v>
      </c>
      <c r="B20" s="19" t="s">
        <v>80</v>
      </c>
    </row>
    <row r="21" customFormat="false" ht="15" hidden="false" customHeight="false" outlineLevel="0" collapsed="false">
      <c r="A21" s="20" t="s">
        <v>22</v>
      </c>
      <c r="B21" s="22" t="n">
        <v>0.03</v>
      </c>
    </row>
    <row r="22" customFormat="false" ht="15" hidden="false" customHeight="false" outlineLevel="0" collapsed="false">
      <c r="A22" s="20" t="s">
        <v>59</v>
      </c>
      <c r="B22" s="22" t="n">
        <v>0.041</v>
      </c>
    </row>
    <row r="23" customFormat="false" ht="15" hidden="false" customHeight="false" outlineLevel="0" collapsed="false">
      <c r="A23" s="20" t="s">
        <v>60</v>
      </c>
      <c r="B23" s="22" t="n">
        <v>0.057</v>
      </c>
    </row>
    <row r="25" customFormat="false" ht="15" hidden="false" customHeight="false" outlineLevel="0" collapsed="false">
      <c r="A25" s="19" t="s">
        <v>23</v>
      </c>
    </row>
    <row r="26" customFormat="false" ht="15" hidden="false" customHeight="false" outlineLevel="0" collapsed="false">
      <c r="A26" s="19" t="s">
        <v>81</v>
      </c>
      <c r="B26" s="19" t="s">
        <v>82</v>
      </c>
    </row>
    <row r="27" customFormat="false" ht="15" hidden="false" customHeight="false" outlineLevel="0" collapsed="false">
      <c r="A27" s="20" t="s">
        <v>24</v>
      </c>
      <c r="B27" s="23" t="n">
        <v>0</v>
      </c>
    </row>
    <row r="28" customFormat="false" ht="15" hidden="false" customHeight="false" outlineLevel="0" collapsed="false">
      <c r="A28" s="20" t="s">
        <v>61</v>
      </c>
      <c r="B28" s="23" t="n">
        <v>0.2</v>
      </c>
    </row>
    <row r="29" customFormat="false" ht="15" hidden="false" customHeight="false" outlineLevel="0" collapsed="false">
      <c r="A29" s="20" t="s">
        <v>62</v>
      </c>
      <c r="B29" s="23" t="n">
        <v>0.4</v>
      </c>
    </row>
    <row r="31" customFormat="false" ht="15" hidden="false" customHeight="false" outlineLevel="0" collapsed="false">
      <c r="A31" s="24"/>
    </row>
    <row r="32" customFormat="false" ht="15" hidden="false" customHeight="false" outlineLevel="0" collapsed="false">
      <c r="A32" s="19" t="s">
        <v>83</v>
      </c>
    </row>
    <row r="33" customFormat="false" ht="15" hidden="false" customHeight="false" outlineLevel="0" collapsed="false">
      <c r="A33" s="24" t="s">
        <v>84</v>
      </c>
    </row>
    <row r="34" customFormat="false" ht="15" hidden="false" customHeight="false" outlineLevel="0" collapsed="false">
      <c r="A34" s="24" t="s">
        <v>85</v>
      </c>
    </row>
    <row r="35" customFormat="false" ht="15" hidden="false" customHeight="false" outlineLevel="0" collapsed="false">
      <c r="A35" s="24" t="s">
        <v>86</v>
      </c>
    </row>
    <row r="36" customFormat="false" ht="15" hidden="false" customHeight="false" outlineLevel="0" collapsed="false">
      <c r="A36" s="24" t="s">
        <v>87</v>
      </c>
    </row>
    <row r="37" customFormat="false" ht="15" hidden="false" customHeight="false" outlineLevel="0" collapsed="false">
      <c r="A37" s="24" t="s">
        <v>88</v>
      </c>
    </row>
    <row r="38" customFormat="false" ht="15" hidden="false" customHeight="false" outlineLevel="0" collapsed="false">
      <c r="A38" s="24" t="s">
        <v>89</v>
      </c>
    </row>
    <row r="39" customFormat="false" ht="15" hidden="false" customHeight="false" outlineLevel="0" collapsed="false">
      <c r="A39" s="24"/>
    </row>
    <row r="40" customFormat="false" ht="15" hidden="false" customHeight="false" outlineLevel="0" collapsed="false">
      <c r="A40" s="19" t="s">
        <v>90</v>
      </c>
    </row>
    <row r="41" customFormat="false" ht="15" hidden="false" customHeight="false" outlineLevel="0" collapsed="false">
      <c r="A41" s="24" t="s">
        <v>91</v>
      </c>
    </row>
    <row r="42" customFormat="false" ht="15" hidden="false" customHeight="false" outlineLevel="0" collapsed="false">
      <c r="A42" s="24" t="s">
        <v>92</v>
      </c>
    </row>
    <row r="43" customFormat="false" ht="15" hidden="false" customHeight="false" outlineLevel="0" collapsed="false">
      <c r="A43" s="24" t="s">
        <v>93</v>
      </c>
    </row>
    <row r="44" customFormat="false" ht="15" hidden="false" customHeight="false" outlineLevel="0" collapsed="false">
      <c r="A44" s="24" t="s">
        <v>94</v>
      </c>
    </row>
    <row r="45" customFormat="false" ht="15" hidden="false" customHeight="false" outlineLevel="0" collapsed="false">
      <c r="A45" s="24" t="s">
        <v>95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2026-06-15T21:56:02Z</dcterms:created>
  <dc:creator>openpyxl</dc:creator>
  <dc:description/>
  <dc:language>en-US</dc:language>
  <cp:lastModifiedBy/>
  <dcterms:modified xsi:type="dcterms:W3CDTF">2026-06-15T21:56:02Z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